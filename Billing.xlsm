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4596" yWindow="3360" windowWidth="17280" windowHeight="8880"/>
  </bookViews>
  <sheets>
    <sheet name="new_format" sheetId="1" r:id="rId1"/>
    <sheet name="temp_data" sheetId="2" r:id="rId2"/>
    <sheet name="Buyers" sheetId="3" r:id="rId3"/>
    <sheet name="invoices" sheetId="4" r:id="rId4"/>
    <sheet name="Settings" sheetId="5" r:id="rId5"/>
  </sheet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1" i="1"/>
  <c r="J32"/>
  <c r="Y2" i="3"/>
  <c r="H12" i="1" s="1"/>
  <c r="H30"/>
  <c r="H29"/>
  <c r="H28"/>
  <c r="W2" i="3"/>
  <c r="AF2"/>
  <c r="AG2"/>
  <c r="AH2"/>
  <c r="Z2"/>
  <c r="D12" i="1" s="1"/>
  <c r="AA2" i="3"/>
  <c r="D11" i="1" s="1"/>
  <c r="AB2" i="3"/>
  <c r="H11" i="1" s="1"/>
  <c r="AC2" i="3"/>
  <c r="D9" i="1" s="1"/>
  <c r="AD2" i="3"/>
  <c r="D10" i="1" s="1"/>
  <c r="AE2" i="3"/>
  <c r="H10" i="1" s="1"/>
  <c r="D8"/>
  <c r="J35"/>
  <c r="C15"/>
  <c r="J33"/>
  <c r="J30"/>
  <c r="J29"/>
  <c r="J28"/>
  <c r="J27"/>
  <c r="I5"/>
  <c r="I4"/>
  <c r="F16"/>
  <c r="G16"/>
  <c r="H16"/>
  <c r="I16"/>
  <c r="J16"/>
  <c r="F17"/>
  <c r="G17"/>
  <c r="H17"/>
  <c r="I17"/>
  <c r="J17"/>
  <c r="F18"/>
  <c r="G18"/>
  <c r="H18"/>
  <c r="I18"/>
  <c r="J18"/>
  <c r="F19"/>
  <c r="G19"/>
  <c r="H19"/>
  <c r="I19"/>
  <c r="J19"/>
  <c r="F20"/>
  <c r="G20"/>
  <c r="H20"/>
  <c r="I20"/>
  <c r="J20"/>
  <c r="F21"/>
  <c r="G21"/>
  <c r="H21"/>
  <c r="I21"/>
  <c r="J21"/>
  <c r="F22"/>
  <c r="G22"/>
  <c r="H22"/>
  <c r="I22"/>
  <c r="J22"/>
  <c r="F23"/>
  <c r="G23"/>
  <c r="H23"/>
  <c r="I23"/>
  <c r="J23"/>
  <c r="F24"/>
  <c r="G24"/>
  <c r="H24"/>
  <c r="I24"/>
  <c r="J24"/>
  <c r="F25"/>
  <c r="G25"/>
  <c r="H25"/>
  <c r="I25"/>
  <c r="J25"/>
  <c r="F26"/>
  <c r="G26"/>
  <c r="H26"/>
  <c r="I26"/>
  <c r="J26"/>
  <c r="C16"/>
  <c r="C17"/>
  <c r="C18"/>
  <c r="C19"/>
  <c r="C20"/>
  <c r="C21"/>
  <c r="C22"/>
  <c r="C23"/>
  <c r="C24"/>
  <c r="C25"/>
  <c r="C26"/>
  <c r="B16"/>
  <c r="B17"/>
  <c r="B18"/>
  <c r="B19"/>
  <c r="B20"/>
  <c r="B21"/>
  <c r="B22"/>
  <c r="B23"/>
  <c r="B24"/>
  <c r="B25"/>
  <c r="B26"/>
  <c r="G15"/>
  <c r="H15"/>
  <c r="I15"/>
  <c r="J15"/>
  <c r="F15"/>
  <c r="B15"/>
  <c r="B42"/>
  <c r="B41"/>
  <c r="B39"/>
</calcChain>
</file>

<file path=xl/sharedStrings.xml><?xml version="1.0" encoding="utf-8"?>
<sst xmlns="http://schemas.openxmlformats.org/spreadsheetml/2006/main" count="107" uniqueCount="80">
  <si>
    <t>TAX INVOICE</t>
  </si>
  <si>
    <t>GSTIN/UIN: 19BCCPD7276E1ZM</t>
  </si>
  <si>
    <t xml:space="preserve">Invoice No. </t>
  </si>
  <si>
    <t>Invoice Date:</t>
  </si>
  <si>
    <t xml:space="preserve">Buyer's Details </t>
  </si>
  <si>
    <t>Name:</t>
  </si>
  <si>
    <t>GST IN:</t>
  </si>
  <si>
    <t>Address:</t>
  </si>
  <si>
    <t>Sl. No.</t>
  </si>
  <si>
    <t>DESCRIPTION OF GOODS</t>
  </si>
  <si>
    <t xml:space="preserve">HSN Code </t>
  </si>
  <si>
    <t>Qty</t>
  </si>
  <si>
    <t>Rate 
(Rs)</t>
  </si>
  <si>
    <t>Per</t>
  </si>
  <si>
    <t>Taxable Amount  
(Rs)</t>
  </si>
  <si>
    <t xml:space="preserve">Total Taxable Value </t>
  </si>
  <si>
    <t xml:space="preserve">Round Off </t>
  </si>
  <si>
    <t>Total Invoice Value</t>
  </si>
  <si>
    <t>In word</t>
  </si>
  <si>
    <t>E. &amp; O.E</t>
  </si>
  <si>
    <t>Terms and Conditions</t>
  </si>
  <si>
    <t xml:space="preserve">Total Payment Due in 30 Days </t>
  </si>
  <si>
    <t>Please include the Invoice No. on your Cheque</t>
  </si>
  <si>
    <t>Authorised Signatory</t>
  </si>
  <si>
    <t>Date</t>
  </si>
  <si>
    <t>Buyer's name</t>
  </si>
  <si>
    <t>Invoice no.</t>
  </si>
  <si>
    <t>Description of Goods</t>
  </si>
  <si>
    <t>HSN/SAC</t>
  </si>
  <si>
    <t>Quantity</t>
  </si>
  <si>
    <t>Rate</t>
  </si>
  <si>
    <t>Amount</t>
  </si>
  <si>
    <t>Total Amount</t>
  </si>
  <si>
    <t>CGST</t>
  </si>
  <si>
    <t>SGST</t>
  </si>
  <si>
    <t>Roundup</t>
  </si>
  <si>
    <t>Net Payable</t>
  </si>
  <si>
    <t>inword</t>
  </si>
  <si>
    <t>id</t>
  </si>
  <si>
    <t>name</t>
  </si>
  <si>
    <t>Email</t>
  </si>
  <si>
    <t>Phone number</t>
  </si>
  <si>
    <t>GSTIN/UIN</t>
  </si>
  <si>
    <t>PAN/IT NO</t>
  </si>
  <si>
    <t>State</t>
  </si>
  <si>
    <t>Per List</t>
  </si>
  <si>
    <t>Pc</t>
  </si>
  <si>
    <t>Pcs</t>
  </si>
  <si>
    <t>Invoice number</t>
  </si>
  <si>
    <t>Dz</t>
  </si>
  <si>
    <t>ID</t>
  </si>
  <si>
    <t>Buyer Name</t>
  </si>
  <si>
    <t>File Path</t>
  </si>
  <si>
    <t>Address</t>
  </si>
  <si>
    <t>State Code</t>
  </si>
  <si>
    <t>IGST</t>
  </si>
  <si>
    <t>DAS ENTERPRISE</t>
  </si>
  <si>
    <r>
      <t xml:space="preserve">Declaration :- 
</t>
    </r>
    <r>
      <rPr>
        <sz val="14"/>
        <color theme="1"/>
        <rFont val="Cambria"/>
        <family val="1"/>
      </rPr>
      <t>We declare that this invoice shows the actual price of the goods described and that all particulars are true and correct.</t>
    </r>
  </si>
  <si>
    <t>This is a system generated invoice.</t>
  </si>
  <si>
    <t xml:space="preserve">BEGAMPUR HATTALA, BEGAMPUR, CHANDITALA,HOOGHLY, 
West Bengal - 712306, Code - 19
PAN - BCCPD7276E
Phone No. : +919830581625, Email : cdas0917@gmail.com  </t>
  </si>
  <si>
    <t>IGST Percentage</t>
  </si>
  <si>
    <t>CGST Percentage</t>
  </si>
  <si>
    <t>SGST Percentage</t>
  </si>
  <si>
    <t>State Code:</t>
  </si>
  <si>
    <t>PAN:</t>
  </si>
  <si>
    <t>Email ID:</t>
  </si>
  <si>
    <t>State:</t>
  </si>
  <si>
    <t>Phone No. :</t>
  </si>
  <si>
    <t>werrwe</t>
  </si>
  <si>
    <t/>
  </si>
  <si>
    <t>19-06-2023</t>
  </si>
  <si>
    <t>hgfy</t>
  </si>
  <si>
    <t>0.00</t>
  </si>
  <si>
    <t>E:\Billing\werrwe\hgfy.pdf</t>
  </si>
  <si>
    <t>26-06-2023</t>
  </si>
  <si>
    <t>sadasd</t>
  </si>
  <si>
    <t>adsadasd</t>
  </si>
  <si>
    <t>sadas</t>
  </si>
  <si>
    <t>One Hundred Twenty One</t>
  </si>
  <si>
    <t>E:\Billing\Developer\werrwe\sadasd.pdf</t>
  </si>
</sst>
</file>

<file path=xl/styles.xml><?xml version="1.0" encoding="utf-8"?>
<styleSheet xmlns="http://schemas.openxmlformats.org/spreadsheetml/2006/main">
  <numFmts count="3">
    <numFmt numFmtId="164" formatCode="_(* #,##0.00_);_(* \(#,##0.00\);_(* &quot;-&quot;??_);_(@_)"/>
    <numFmt numFmtId="165" formatCode="_ * #,##0_ ;_ * \-#,##0_ ;_ * &quot;-&quot;??_ ;_ @_ "/>
    <numFmt numFmtId="166" formatCode="General\ &quot;%&quot;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theme="0"/>
      <name val="Cambria"/>
      <family val="1"/>
    </font>
    <font>
      <b/>
      <sz val="24"/>
      <color theme="1"/>
      <name val="Cambria"/>
      <family val="1"/>
    </font>
    <font>
      <sz val="10"/>
      <color rgb="FF000000"/>
      <name val="Cambria"/>
      <family val="1"/>
    </font>
    <font>
      <sz val="24"/>
      <color rgb="FF000000"/>
      <name val="Cambria"/>
      <family val="1"/>
    </font>
    <font>
      <b/>
      <sz val="22"/>
      <color theme="1"/>
      <name val="Cambria"/>
      <family val="1"/>
    </font>
    <font>
      <b/>
      <sz val="13"/>
      <color theme="1"/>
      <name val="Cambria"/>
      <family val="1"/>
    </font>
    <font>
      <sz val="14"/>
      <name val="Cambria"/>
      <family val="1"/>
    </font>
    <font>
      <b/>
      <sz val="14"/>
      <name val="Cambria"/>
      <family val="1"/>
    </font>
    <font>
      <b/>
      <sz val="13"/>
      <name val="Cambria"/>
      <family val="1"/>
    </font>
    <font>
      <sz val="14"/>
      <color rgb="FF000000"/>
      <name val="Cambria"/>
      <family val="1"/>
    </font>
    <font>
      <b/>
      <sz val="14"/>
      <color rgb="FF000000"/>
      <name val="Cambria"/>
      <family val="1"/>
    </font>
    <font>
      <b/>
      <sz val="14"/>
      <color theme="1"/>
      <name val="Cambria"/>
      <family val="1"/>
    </font>
    <font>
      <b/>
      <sz val="12"/>
      <name val="Cambria"/>
      <family val="1"/>
    </font>
    <font>
      <b/>
      <sz val="16"/>
      <color theme="1"/>
      <name val="Cambria"/>
      <family val="1"/>
    </font>
    <font>
      <sz val="14"/>
      <color theme="1"/>
      <name val="Cambria"/>
      <family val="1"/>
    </font>
    <font>
      <b/>
      <sz val="10"/>
      <name val="Cambria"/>
      <family val="1"/>
    </font>
    <font>
      <b/>
      <sz val="11"/>
      <name val="Cambria"/>
      <family val="1"/>
    </font>
    <font>
      <sz val="10"/>
      <name val="Cambria"/>
      <family val="1"/>
    </font>
    <font>
      <b/>
      <sz val="14"/>
      <color rgb="FF20AD96"/>
      <name val="Cambria"/>
      <family val="1"/>
    </font>
    <font>
      <sz val="10"/>
      <color theme="1"/>
      <name val="Cambria"/>
      <family val="1"/>
    </font>
    <font>
      <sz val="10"/>
      <color rgb="FF20AD96"/>
      <name val="Cambria"/>
      <family val="1"/>
    </font>
    <font>
      <b/>
      <sz val="11"/>
      <color theme="0"/>
      <name val="Cambria"/>
      <family val="1"/>
    </font>
    <font>
      <sz val="11"/>
      <color theme="0"/>
      <name val="Cambria"/>
      <family val="1"/>
    </font>
    <font>
      <b/>
      <sz val="11"/>
      <color rgb="FF20AD96"/>
      <name val="Cambria"/>
      <family val="1"/>
    </font>
    <font>
      <b/>
      <sz val="12"/>
      <color theme="1"/>
      <name val="Cambria"/>
      <family val="1"/>
    </font>
    <font>
      <b/>
      <sz val="11"/>
      <color theme="1"/>
      <name val="Cambria"/>
      <family val="1"/>
    </font>
    <font>
      <sz val="11"/>
      <color rgb="FF000000"/>
      <name val="Cambria"/>
      <family val="1"/>
    </font>
    <font>
      <b/>
      <sz val="11"/>
      <color rgb="FF000000"/>
      <name val="Cambria"/>
      <family val="1"/>
    </font>
    <font>
      <sz val="11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dotted">
        <color rgb="FF294A70"/>
      </bottom>
      <diagonal/>
    </border>
    <border>
      <left/>
      <right style="thin">
        <color indexed="64"/>
      </right>
      <top style="thin">
        <color theme="1"/>
      </top>
      <bottom style="dotted">
        <color rgb="FF294A70"/>
      </bottom>
      <diagonal/>
    </border>
    <border>
      <left/>
      <right style="thin">
        <color indexed="64"/>
      </right>
      <top style="dotted">
        <color rgb="FF294A70"/>
      </top>
      <bottom style="dotted">
        <color rgb="FF294A70"/>
      </bottom>
      <diagonal/>
    </border>
    <border>
      <left/>
      <right/>
      <top style="dotted">
        <color rgb="FF294A70"/>
      </top>
      <bottom/>
      <diagonal/>
    </border>
    <border>
      <left/>
      <right style="thin">
        <color indexed="64"/>
      </right>
      <top style="dotted">
        <color rgb="FF294A70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133">
    <xf numFmtId="0" fontId="0" fillId="0" borderId="0" xfId="0"/>
    <xf numFmtId="0" fontId="3" fillId="0" borderId="0" xfId="3" applyFont="1" applyAlignment="1">
      <alignment horizontal="left" vertical="center"/>
    </xf>
    <xf numFmtId="0" fontId="5" fillId="0" borderId="0" xfId="3" applyFont="1" applyAlignment="1">
      <alignment horizontal="left" vertical="center"/>
    </xf>
    <xf numFmtId="0" fontId="6" fillId="0" borderId="0" xfId="3" applyFont="1" applyAlignment="1">
      <alignment horizontal="left"/>
    </xf>
    <xf numFmtId="0" fontId="5" fillId="0" borderId="0" xfId="3" applyFont="1" applyAlignment="1">
      <alignment horizontal="center" vertical="center"/>
    </xf>
    <xf numFmtId="0" fontId="7" fillId="0" borderId="1" xfId="3" applyFont="1" applyBorder="1" applyAlignment="1">
      <alignment vertical="center"/>
    </xf>
    <xf numFmtId="0" fontId="7" fillId="0" borderId="2" xfId="3" applyFont="1" applyBorder="1" applyAlignment="1">
      <alignment vertical="center"/>
    </xf>
    <xf numFmtId="0" fontId="7" fillId="0" borderId="3" xfId="3" applyFont="1" applyBorder="1" applyAlignment="1">
      <alignment vertical="center"/>
    </xf>
    <xf numFmtId="0" fontId="8" fillId="0" borderId="4" xfId="3" applyFont="1" applyBorder="1" applyAlignment="1">
      <alignment horizontal="right" vertical="center"/>
    </xf>
    <xf numFmtId="0" fontId="10" fillId="0" borderId="0" xfId="3" applyFont="1" applyAlignment="1">
      <alignment vertical="center"/>
    </xf>
    <xf numFmtId="0" fontId="10" fillId="0" borderId="5" xfId="3" applyFont="1" applyBorder="1" applyAlignment="1">
      <alignment horizontal="left" vertical="center"/>
    </xf>
    <xf numFmtId="0" fontId="5" fillId="0" borderId="4" xfId="3" applyFont="1" applyBorder="1" applyAlignment="1">
      <alignment horizontal="left" vertical="center"/>
    </xf>
    <xf numFmtId="0" fontId="5" fillId="0" borderId="2" xfId="3" applyFont="1" applyBorder="1" applyAlignment="1">
      <alignment horizontal="left" vertical="center"/>
    </xf>
    <xf numFmtId="0" fontId="11" fillId="0" borderId="6" xfId="3" applyFont="1" applyBorder="1" applyAlignment="1">
      <alignment vertical="center"/>
    </xf>
    <xf numFmtId="0" fontId="5" fillId="0" borderId="10" xfId="3" applyFont="1" applyBorder="1" applyAlignment="1">
      <alignment horizontal="left" vertical="center"/>
    </xf>
    <xf numFmtId="0" fontId="12" fillId="0" borderId="0" xfId="3" applyFont="1" applyAlignment="1">
      <alignment horizontal="left" vertical="center"/>
    </xf>
    <xf numFmtId="0" fontId="9" fillId="0" borderId="3" xfId="3" applyFont="1" applyBorder="1" applyAlignment="1">
      <alignment horizontal="left" vertical="center"/>
    </xf>
    <xf numFmtId="0" fontId="10" fillId="0" borderId="3" xfId="3" applyFont="1" applyBorder="1" applyAlignment="1">
      <alignment vertical="center"/>
    </xf>
    <xf numFmtId="0" fontId="10" fillId="0" borderId="8" xfId="3" applyFont="1" applyBorder="1" applyAlignment="1">
      <alignment vertical="center"/>
    </xf>
    <xf numFmtId="0" fontId="13" fillId="0" borderId="0" xfId="3" applyFont="1" applyAlignment="1">
      <alignment vertical="center"/>
    </xf>
    <xf numFmtId="0" fontId="10" fillId="0" borderId="6" xfId="3" applyFont="1" applyBorder="1" applyAlignment="1">
      <alignment horizontal="left" vertical="center"/>
    </xf>
    <xf numFmtId="0" fontId="12" fillId="0" borderId="0" xfId="3" applyFont="1" applyAlignment="1">
      <alignment vertical="center"/>
    </xf>
    <xf numFmtId="0" fontId="12" fillId="0" borderId="0" xfId="3" applyFont="1" applyAlignment="1">
      <alignment horizontal="left" vertical="top"/>
    </xf>
    <xf numFmtId="0" fontId="10" fillId="0" borderId="9" xfId="3" applyFont="1" applyBorder="1" applyAlignment="1">
      <alignment horizontal="center" vertical="center"/>
    </xf>
    <xf numFmtId="0" fontId="10" fillId="0" borderId="11" xfId="3" applyFont="1" applyBorder="1" applyAlignment="1">
      <alignment horizontal="center" vertical="center"/>
    </xf>
    <xf numFmtId="0" fontId="10" fillId="0" borderId="11" xfId="3" applyFont="1" applyBorder="1" applyAlignment="1">
      <alignment horizontal="left" vertical="center"/>
    </xf>
    <xf numFmtId="0" fontId="10" fillId="0" borderId="11" xfId="3" applyFont="1" applyBorder="1" applyAlignment="1">
      <alignment vertical="center"/>
    </xf>
    <xf numFmtId="0" fontId="10" fillId="0" borderId="10" xfId="3" applyFont="1" applyBorder="1" applyAlignment="1">
      <alignment horizontal="center" vertical="center"/>
    </xf>
    <xf numFmtId="0" fontId="14" fillId="0" borderId="12" xfId="3" applyFont="1" applyBorder="1" applyAlignment="1">
      <alignment horizontal="center" vertical="center" wrapText="1"/>
    </xf>
    <xf numFmtId="165" fontId="14" fillId="0" borderId="12" xfId="3" applyNumberFormat="1" applyFont="1" applyBorder="1" applyAlignment="1">
      <alignment horizontal="center" vertical="center" wrapText="1"/>
    </xf>
    <xf numFmtId="9" fontId="5" fillId="0" borderId="0" xfId="2" applyFont="1" applyAlignment="1">
      <alignment horizontal="left" vertical="center"/>
    </xf>
    <xf numFmtId="0" fontId="12" fillId="0" borderId="13" xfId="3" applyFont="1" applyBorder="1" applyAlignment="1">
      <alignment horizontal="center" vertical="center"/>
    </xf>
    <xf numFmtId="0" fontId="12" fillId="0" borderId="13" xfId="3" applyFont="1" applyBorder="1" applyAlignment="1">
      <alignment horizontal="center" vertical="center" wrapText="1"/>
    </xf>
    <xf numFmtId="165" fontId="14" fillId="0" borderId="14" xfId="1" applyNumberFormat="1" applyFont="1" applyFill="1" applyBorder="1" applyAlignment="1" applyProtection="1">
      <alignment vertical="center"/>
      <protection locked="0"/>
    </xf>
    <xf numFmtId="164" fontId="14" fillId="0" borderId="14" xfId="0" applyNumberFormat="1" applyFont="1" applyBorder="1" applyAlignment="1" applyProtection="1">
      <alignment vertical="center"/>
      <protection locked="0"/>
    </xf>
    <xf numFmtId="164" fontId="14" fillId="0" borderId="15" xfId="0" applyNumberFormat="1" applyFont="1" applyBorder="1" applyAlignment="1" applyProtection="1">
      <alignment vertical="center"/>
      <protection locked="0"/>
    </xf>
    <xf numFmtId="164" fontId="14" fillId="0" borderId="16" xfId="1" applyFont="1" applyFill="1" applyBorder="1" applyAlignment="1" applyProtection="1">
      <alignment vertical="center"/>
    </xf>
    <xf numFmtId="10" fontId="10" fillId="0" borderId="17" xfId="2" applyNumberFormat="1" applyFont="1" applyBorder="1" applyAlignment="1">
      <alignment horizontal="center" vertical="center"/>
    </xf>
    <xf numFmtId="164" fontId="10" fillId="0" borderId="18" xfId="1" applyFont="1" applyBorder="1" applyAlignment="1">
      <alignment vertical="center"/>
    </xf>
    <xf numFmtId="164" fontId="10" fillId="0" borderId="19" xfId="1" applyFont="1" applyBorder="1" applyAlignment="1">
      <alignment vertical="center"/>
    </xf>
    <xf numFmtId="10" fontId="10" fillId="0" borderId="20" xfId="2" applyNumberFormat="1" applyFont="1" applyBorder="1" applyAlignment="1">
      <alignment horizontal="center" vertical="center"/>
    </xf>
    <xf numFmtId="0" fontId="5" fillId="0" borderId="0" xfId="3" applyFont="1" applyAlignment="1">
      <alignment horizontal="right"/>
    </xf>
    <xf numFmtId="0" fontId="5" fillId="0" borderId="0" xfId="3" applyFont="1" applyAlignment="1">
      <alignment horizontal="left"/>
    </xf>
    <xf numFmtId="0" fontId="12" fillId="0" borderId="0" xfId="3" applyFont="1" applyAlignment="1">
      <alignment horizontal="left"/>
    </xf>
    <xf numFmtId="165" fontId="24" fillId="0" borderId="0" xfId="1" applyNumberFormat="1" applyFont="1" applyAlignment="1" applyProtection="1">
      <alignment horizontal="left" vertical="center"/>
      <protection locked="0"/>
    </xf>
    <xf numFmtId="0" fontId="25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4" fillId="0" borderId="0" xfId="3" applyFont="1" applyAlignment="1" applyProtection="1">
      <alignment horizontal="left" vertical="center"/>
      <protection locked="0"/>
    </xf>
    <xf numFmtId="0" fontId="23" fillId="0" borderId="0" xfId="3" applyFont="1" applyAlignment="1">
      <alignment horizontal="left"/>
    </xf>
    <xf numFmtId="165" fontId="23" fillId="0" borderId="0" xfId="1" applyNumberFormat="1" applyFont="1" applyAlignment="1">
      <alignment horizontal="left"/>
    </xf>
    <xf numFmtId="14" fontId="0" fillId="0" borderId="0" xfId="0" applyNumberFormat="1"/>
    <xf numFmtId="0" fontId="0" fillId="2" borderId="22" xfId="0" applyFill="1" applyBorder="1"/>
    <xf numFmtId="0" fontId="0" fillId="0" borderId="22" xfId="0" applyBorder="1"/>
    <xf numFmtId="0" fontId="0" fillId="3" borderId="22" xfId="0" applyFill="1" applyBorder="1"/>
    <xf numFmtId="0" fontId="9" fillId="0" borderId="0" xfId="3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9" fillId="0" borderId="0" xfId="3" applyFont="1" applyAlignment="1">
      <alignment horizontal="left" vertical="center"/>
    </xf>
    <xf numFmtId="0" fontId="9" fillId="0" borderId="0" xfId="3" applyFont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17" fillId="0" borderId="2" xfId="0" applyFont="1" applyBorder="1" applyAlignment="1">
      <alignment horizontal="right" vertical="center" wrapText="1"/>
    </xf>
    <xf numFmtId="0" fontId="0" fillId="4" borderId="22" xfId="0" applyFill="1" applyBorder="1"/>
    <xf numFmtId="164" fontId="15" fillId="0" borderId="0" xfId="2" applyNumberFormat="1" applyFont="1" applyBorder="1" applyAlignment="1" applyProtection="1">
      <alignment vertical="center"/>
      <protection locked="0"/>
    </xf>
    <xf numFmtId="164" fontId="15" fillId="0" borderId="3" xfId="2" applyNumberFormat="1" applyFont="1" applyBorder="1" applyAlignment="1" applyProtection="1">
      <alignment vertical="center"/>
      <protection locked="0"/>
    </xf>
    <xf numFmtId="0" fontId="9" fillId="0" borderId="0" xfId="0" applyFont="1" applyAlignment="1">
      <alignment vertical="center"/>
    </xf>
    <xf numFmtId="0" fontId="9" fillId="0" borderId="8" xfId="0" applyFont="1" applyBorder="1" applyAlignment="1">
      <alignment vertical="center"/>
    </xf>
    <xf numFmtId="0" fontId="9" fillId="0" borderId="0" xfId="3" applyFont="1" applyAlignment="1">
      <alignment vertical="top" wrapText="1"/>
    </xf>
    <xf numFmtId="0" fontId="9" fillId="0" borderId="8" xfId="3" applyFont="1" applyBorder="1" applyAlignment="1">
      <alignment vertical="top" wrapText="1"/>
    </xf>
    <xf numFmtId="0" fontId="10" fillId="0" borderId="0" xfId="3" applyFont="1" applyAlignment="1">
      <alignment horizontal="left" vertical="center"/>
    </xf>
    <xf numFmtId="14" fontId="11" fillId="0" borderId="0" xfId="3" applyNumberFormat="1" applyFont="1" applyAlignment="1">
      <alignment horizontal="left" vertical="center"/>
    </xf>
    <xf numFmtId="0" fontId="10" fillId="0" borderId="5" xfId="3" applyFont="1" applyBorder="1" applyAlignment="1">
      <alignment vertical="center"/>
    </xf>
    <xf numFmtId="0" fontId="10" fillId="0" borderId="3" xfId="3" applyFont="1" applyBorder="1" applyAlignment="1">
      <alignment horizontal="left" vertical="center"/>
    </xf>
    <xf numFmtId="0" fontId="5" fillId="0" borderId="8" xfId="3" applyFont="1" applyBorder="1" applyAlignment="1">
      <alignment horizontal="left" vertical="center"/>
    </xf>
    <xf numFmtId="0" fontId="5" fillId="0" borderId="9" xfId="3" applyFont="1" applyBorder="1" applyAlignment="1">
      <alignment horizontal="left" vertical="center"/>
    </xf>
    <xf numFmtId="0" fontId="5" fillId="0" borderId="11" xfId="3" applyFont="1" applyBorder="1" applyAlignment="1">
      <alignment horizontal="left" vertical="center"/>
    </xf>
    <xf numFmtId="164" fontId="16" fillId="0" borderId="23" xfId="1" applyFont="1" applyFill="1" applyBorder="1" applyAlignment="1">
      <alignment vertical="center"/>
    </xf>
    <xf numFmtId="0" fontId="16" fillId="0" borderId="2" xfId="0" applyFont="1" applyBorder="1" applyAlignment="1">
      <alignment horizontal="left" vertical="center" wrapText="1"/>
    </xf>
    <xf numFmtId="0" fontId="16" fillId="0" borderId="2" xfId="0" applyFont="1" applyBorder="1" applyAlignment="1">
      <alignment vertical="center"/>
    </xf>
    <xf numFmtId="0" fontId="17" fillId="0" borderId="11" xfId="0" applyFont="1" applyBorder="1" applyAlignment="1">
      <alignment horizontal="right" vertical="center" wrapText="1"/>
    </xf>
    <xf numFmtId="0" fontId="5" fillId="0" borderId="3" xfId="3" applyFont="1" applyBorder="1" applyAlignment="1">
      <alignment horizontal="left" vertical="center"/>
    </xf>
    <xf numFmtId="0" fontId="17" fillId="0" borderId="7" xfId="0" applyFont="1" applyBorder="1" applyAlignment="1">
      <alignment horizontal="right" vertical="center"/>
    </xf>
    <xf numFmtId="0" fontId="14" fillId="0" borderId="24" xfId="0" applyFont="1" applyBorder="1" applyAlignment="1" applyProtection="1">
      <alignment vertical="center"/>
      <protection locked="0"/>
    </xf>
    <xf numFmtId="0" fontId="16" fillId="0" borderId="9" xfId="0" applyFont="1" applyBorder="1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10" xfId="0" applyFont="1" applyBorder="1" applyAlignment="1">
      <alignment vertical="center"/>
    </xf>
    <xf numFmtId="0" fontId="27" fillId="0" borderId="3" xfId="0" applyFont="1" applyBorder="1" applyAlignment="1" applyProtection="1">
      <alignment vertical="top" wrapText="1"/>
      <protection locked="0"/>
    </xf>
    <xf numFmtId="0" fontId="27" fillId="0" borderId="4" xfId="0" applyFont="1" applyBorder="1" applyAlignment="1" applyProtection="1">
      <alignment vertical="top" wrapText="1"/>
      <protection locked="0"/>
    </xf>
    <xf numFmtId="0" fontId="12" fillId="0" borderId="5" xfId="3" applyFont="1" applyBorder="1" applyAlignment="1">
      <alignment horizontal="left" vertical="center"/>
    </xf>
    <xf numFmtId="0" fontId="5" fillId="0" borderId="5" xfId="3" applyFont="1" applyBorder="1" applyAlignment="1">
      <alignment horizontal="left" vertical="center"/>
    </xf>
    <xf numFmtId="0" fontId="19" fillId="0" borderId="3" xfId="0" applyFont="1" applyBorder="1" applyAlignment="1" applyProtection="1">
      <alignment horizontal="center" vertical="center"/>
      <protection locked="0"/>
    </xf>
    <xf numFmtId="0" fontId="19" fillId="0" borderId="3" xfId="0" applyFont="1" applyBorder="1" applyAlignment="1" applyProtection="1">
      <alignment vertical="center"/>
      <protection locked="0"/>
    </xf>
    <xf numFmtId="165" fontId="18" fillId="0" borderId="4" xfId="1" applyNumberFormat="1" applyFont="1" applyBorder="1" applyAlignment="1" applyProtection="1">
      <alignment vertical="center"/>
      <protection locked="0"/>
    </xf>
    <xf numFmtId="0" fontId="19" fillId="0" borderId="0" xfId="3" applyFont="1"/>
    <xf numFmtId="0" fontId="20" fillId="0" borderId="0" xfId="3" applyFont="1" applyAlignment="1">
      <alignment horizontal="left" vertical="center"/>
    </xf>
    <xf numFmtId="0" fontId="5" fillId="0" borderId="0" xfId="3" applyFont="1" applyAlignment="1">
      <alignment vertical="center" wrapText="1"/>
    </xf>
    <xf numFmtId="0" fontId="10" fillId="0" borderId="0" xfId="0" applyFont="1"/>
    <xf numFmtId="0" fontId="21" fillId="0" borderId="0" xfId="0" applyFont="1" applyAlignment="1">
      <alignment wrapText="1"/>
    </xf>
    <xf numFmtId="0" fontId="22" fillId="0" borderId="8" xfId="3" applyFont="1" applyBorder="1" applyAlignment="1">
      <alignment horizontal="left" vertical="center"/>
    </xf>
    <xf numFmtId="0" fontId="23" fillId="0" borderId="0" xfId="3" applyFont="1" applyAlignment="1">
      <alignment horizontal="left" vertical="center"/>
    </xf>
    <xf numFmtId="165" fontId="23" fillId="0" borderId="0" xfId="1" applyNumberFormat="1" applyFont="1" applyBorder="1" applyAlignment="1">
      <alignment horizontal="left" vertical="center"/>
    </xf>
    <xf numFmtId="0" fontId="12" fillId="0" borderId="8" xfId="3" applyFont="1" applyBorder="1" applyAlignment="1">
      <alignment horizontal="left"/>
    </xf>
    <xf numFmtId="0" fontId="24" fillId="0" borderId="6" xfId="3" applyFont="1" applyBorder="1" applyAlignment="1" applyProtection="1">
      <alignment horizontal="left" vertical="center"/>
      <protection locked="0"/>
    </xf>
    <xf numFmtId="0" fontId="21" fillId="0" borderId="0" xfId="0" applyFont="1"/>
    <xf numFmtId="0" fontId="5" fillId="0" borderId="9" xfId="3" applyFont="1" applyBorder="1" applyAlignment="1">
      <alignment horizontal="right"/>
    </xf>
    <xf numFmtId="0" fontId="5" fillId="0" borderId="11" xfId="3" applyFont="1" applyBorder="1" applyAlignment="1">
      <alignment horizontal="left"/>
    </xf>
    <xf numFmtId="0" fontId="26" fillId="0" borderId="11" xfId="3" applyFont="1" applyBorder="1"/>
    <xf numFmtId="165" fontId="22" fillId="0" borderId="10" xfId="1" applyNumberFormat="1" applyFont="1" applyBorder="1" applyAlignment="1">
      <alignment vertical="center"/>
    </xf>
    <xf numFmtId="0" fontId="18" fillId="0" borderId="0" xfId="0" applyFont="1" applyAlignment="1" applyProtection="1">
      <alignment horizontal="right" vertical="center"/>
      <protection locked="0"/>
    </xf>
    <xf numFmtId="0" fontId="30" fillId="0" borderId="0" xfId="3" applyFont="1" applyAlignment="1">
      <alignment horizontal="left" vertical="center"/>
    </xf>
    <xf numFmtId="0" fontId="28" fillId="0" borderId="6" xfId="3" applyFont="1" applyBorder="1" applyAlignment="1">
      <alignment vertical="center"/>
    </xf>
    <xf numFmtId="0" fontId="31" fillId="0" borderId="0" xfId="3" applyFont="1" applyAlignment="1">
      <alignment horizontal="left" vertical="center"/>
    </xf>
    <xf numFmtId="0" fontId="29" fillId="0" borderId="6" xfId="3" applyFont="1" applyBorder="1" applyAlignment="1">
      <alignment horizontal="right"/>
    </xf>
    <xf numFmtId="0" fontId="29" fillId="0" borderId="0" xfId="3" applyFont="1" applyAlignment="1">
      <alignment horizontal="left"/>
    </xf>
    <xf numFmtId="0" fontId="19" fillId="0" borderId="0" xfId="0" applyFont="1"/>
    <xf numFmtId="0" fontId="14" fillId="0" borderId="8" xfId="0" applyFont="1" applyBorder="1" applyAlignment="1">
      <alignment horizontal="right" vertical="center"/>
    </xf>
    <xf numFmtId="166" fontId="10" fillId="0" borderId="17" xfId="2" applyNumberFormat="1" applyFont="1" applyBorder="1" applyAlignment="1">
      <alignment horizontal="center" vertical="center"/>
    </xf>
    <xf numFmtId="49" fontId="10" fillId="0" borderId="21" xfId="1" applyNumberFormat="1" applyFont="1" applyBorder="1" applyAlignment="1">
      <alignment horizontal="right" vertical="center"/>
    </xf>
    <xf numFmtId="49" fontId="0" fillId="0" borderId="0" xfId="0" applyNumberFormat="1" applyAlignment="1">
      <alignment horizontal="right"/>
    </xf>
    <xf numFmtId="0" fontId="12" fillId="0" borderId="13" xfId="3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/>
    </xf>
    <xf numFmtId="0" fontId="14" fillId="0" borderId="11" xfId="0" applyFont="1" applyBorder="1" applyAlignment="1">
      <alignment horizontal="left" vertical="center"/>
    </xf>
    <xf numFmtId="0" fontId="14" fillId="0" borderId="6" xfId="0" applyFont="1" applyBorder="1" applyAlignment="1" applyProtection="1">
      <alignment horizontal="left" vertical="top" wrapText="1"/>
      <protection locked="0"/>
    </xf>
    <xf numFmtId="0" fontId="14" fillId="0" borderId="0" xfId="0" applyFont="1" applyAlignment="1" applyProtection="1">
      <alignment horizontal="left" vertical="top" wrapText="1"/>
      <protection locked="0"/>
    </xf>
    <xf numFmtId="0" fontId="14" fillId="0" borderId="8" xfId="0" applyFont="1" applyBorder="1" applyAlignment="1" applyProtection="1">
      <alignment horizontal="left" vertical="top" wrapText="1"/>
      <protection locked="0"/>
    </xf>
    <xf numFmtId="0" fontId="4" fillId="0" borderId="0" xfId="3" applyFont="1" applyAlignment="1">
      <alignment horizontal="center" vertical="top"/>
    </xf>
    <xf numFmtId="0" fontId="9" fillId="0" borderId="5" xfId="3" applyFont="1" applyBorder="1" applyAlignment="1">
      <alignment horizontal="left" vertical="center" wrapText="1"/>
    </xf>
    <xf numFmtId="0" fontId="9" fillId="0" borderId="3" xfId="3" applyFont="1" applyBorder="1" applyAlignment="1">
      <alignment horizontal="left" vertical="center" wrapText="1"/>
    </xf>
    <xf numFmtId="0" fontId="9" fillId="0" borderId="6" xfId="3" applyFont="1" applyBorder="1" applyAlignment="1">
      <alignment horizontal="left" vertical="center" wrapText="1"/>
    </xf>
    <xf numFmtId="0" fontId="9" fillId="0" borderId="0" xfId="3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8" xfId="3" applyFont="1" applyBorder="1" applyAlignment="1">
      <alignment horizontal="left" vertical="center" wrapText="1"/>
    </xf>
    <xf numFmtId="0" fontId="9" fillId="0" borderId="0" xfId="3" applyFont="1" applyAlignment="1">
      <alignment horizontal="left" vertical="center"/>
    </xf>
    <xf numFmtId="0" fontId="14" fillId="0" borderId="12" xfId="3" applyFont="1" applyBorder="1" applyAlignment="1">
      <alignment horizontal="center" vertical="center" wrapText="1"/>
    </xf>
  </cellXfs>
  <cellStyles count="4">
    <cellStyle name="Comma" xfId="1" builtinId="3"/>
    <cellStyle name="Normal" xfId="0" builtinId="0"/>
    <cellStyle name="Normal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N42"/>
  <sheetViews>
    <sheetView tabSelected="1" workbookViewId="0">
      <selection activeCell="L42" sqref="L42"/>
    </sheetView>
  </sheetViews>
  <sheetFormatPr defaultColWidth="8.88671875" defaultRowHeight="13.2"/>
  <cols>
    <col min="1" max="1" width="1.33203125" style="2" customWidth="1"/>
    <col min="2" max="2" width="4.88671875" style="2" customWidth="1"/>
    <col min="3" max="3" width="9.33203125" style="2" customWidth="1"/>
    <col min="4" max="4" width="29.44140625" style="2" customWidth="1"/>
    <col min="5" max="5" width="25.88671875" style="2" customWidth="1"/>
    <col min="6" max="6" width="11" style="2" customWidth="1"/>
    <col min="7" max="7" width="14.109375" style="2" customWidth="1"/>
    <col min="8" max="8" width="36.77734375" style="2" bestFit="1" customWidth="1"/>
    <col min="9" max="9" width="16.21875" style="2" customWidth="1"/>
    <col min="10" max="10" width="25.77734375" style="2" customWidth="1"/>
    <col min="11" max="11" width="1.33203125" style="2" customWidth="1"/>
    <col min="12" max="14" width="10" style="2" customWidth="1"/>
    <col min="15" max="18" width="8.88671875" style="2"/>
    <col min="19" max="22" width="10" style="2" customWidth="1"/>
    <col min="23" max="16384" width="8.88671875" style="2"/>
  </cols>
  <sheetData>
    <row r="1" spans="1:11" ht="13.2" customHeight="1">
      <c r="A1" s="1"/>
      <c r="B1" s="123" t="s">
        <v>0</v>
      </c>
      <c r="C1" s="123"/>
      <c r="D1" s="123"/>
      <c r="E1" s="123"/>
      <c r="F1" s="123"/>
      <c r="G1" s="123"/>
      <c r="H1" s="123"/>
      <c r="I1" s="123"/>
      <c r="J1" s="123"/>
    </row>
    <row r="2" spans="1:11" s="3" customFormat="1" ht="30">
      <c r="B2" s="123"/>
      <c r="C2" s="123"/>
      <c r="D2" s="123"/>
      <c r="E2" s="123"/>
      <c r="F2" s="123"/>
      <c r="G2" s="123"/>
      <c r="H2" s="123"/>
      <c r="I2" s="123"/>
      <c r="J2" s="123"/>
    </row>
    <row r="3" spans="1:11" s="4" customFormat="1" ht="31.8" customHeight="1">
      <c r="B3" s="5" t="s">
        <v>56</v>
      </c>
      <c r="C3" s="6"/>
      <c r="D3" s="6"/>
      <c r="E3" s="6"/>
      <c r="F3" s="6"/>
      <c r="G3" s="6"/>
      <c r="H3" s="7"/>
      <c r="I3" s="7"/>
      <c r="J3" s="8" t="s">
        <v>1</v>
      </c>
    </row>
    <row r="4" spans="1:11" ht="24.6" customHeight="1">
      <c r="B4" s="124" t="s">
        <v>59</v>
      </c>
      <c r="C4" s="125"/>
      <c r="D4" s="125"/>
      <c r="E4" s="125"/>
      <c r="F4" s="125"/>
      <c r="G4" s="125"/>
      <c r="H4" s="69" t="s">
        <v>2</v>
      </c>
      <c r="I4" s="70" t="str">
        <f>temp_data!$C$2</f>
        <v>sadasd</v>
      </c>
      <c r="J4" s="11"/>
    </row>
    <row r="5" spans="1:11" ht="24.6" customHeight="1">
      <c r="B5" s="126"/>
      <c r="C5" s="127"/>
      <c r="D5" s="127"/>
      <c r="E5" s="127"/>
      <c r="F5" s="127"/>
      <c r="G5" s="127"/>
      <c r="H5" s="13" t="s">
        <v>3</v>
      </c>
      <c r="I5" s="68" t="str">
        <f>temp_data!$A$2</f>
        <v>26-06-2023</v>
      </c>
      <c r="J5" s="71"/>
    </row>
    <row r="6" spans="1:11" ht="24.6" customHeight="1">
      <c r="B6" s="126"/>
      <c r="C6" s="127"/>
      <c r="D6" s="127"/>
      <c r="E6" s="127"/>
      <c r="F6" s="127"/>
      <c r="G6" s="127"/>
      <c r="H6" s="72"/>
      <c r="I6" s="73"/>
      <c r="J6" s="14"/>
    </row>
    <row r="7" spans="1:11" s="15" customFormat="1" ht="28.8" customHeight="1">
      <c r="B7" s="10" t="s">
        <v>4</v>
      </c>
      <c r="C7" s="16"/>
      <c r="D7" s="16"/>
      <c r="E7" s="17"/>
      <c r="F7" s="17"/>
      <c r="G7" s="17"/>
      <c r="H7" s="9"/>
      <c r="I7" s="9"/>
      <c r="J7" s="18"/>
      <c r="K7" s="19"/>
    </row>
    <row r="8" spans="1:11" s="15" customFormat="1" ht="27" customHeight="1">
      <c r="B8" s="20" t="s">
        <v>5</v>
      </c>
      <c r="C8" s="9"/>
      <c r="D8" s="128" t="str">
        <f>Buyers!$X$2</f>
        <v>werrwe</v>
      </c>
      <c r="E8" s="128"/>
      <c r="F8" s="128"/>
      <c r="G8" s="128"/>
      <c r="H8" s="128"/>
      <c r="I8" s="128"/>
      <c r="J8" s="129"/>
      <c r="K8" s="21"/>
    </row>
    <row r="9" spans="1:11" s="22" customFormat="1" ht="27" customHeight="1">
      <c r="B9" s="20" t="s">
        <v>7</v>
      </c>
      <c r="C9" s="20"/>
      <c r="D9" s="127" t="str">
        <f>Buyers!$AC$2</f>
        <v/>
      </c>
      <c r="E9" s="127"/>
      <c r="F9" s="127"/>
      <c r="G9" s="127"/>
      <c r="H9" s="127"/>
      <c r="I9" s="127"/>
      <c r="J9" s="130"/>
    </row>
    <row r="10" spans="1:11" s="22" customFormat="1" ht="27" customHeight="1">
      <c r="B10" s="20" t="s">
        <v>66</v>
      </c>
      <c r="C10" s="20"/>
      <c r="D10" s="54" t="str">
        <f>Buyers!$AD$2</f>
        <v/>
      </c>
      <c r="E10" s="65"/>
      <c r="G10" s="67" t="s">
        <v>63</v>
      </c>
      <c r="H10" s="54" t="str">
        <f>Buyers!$AE$2</f>
        <v/>
      </c>
      <c r="I10" s="65"/>
      <c r="J10" s="66"/>
    </row>
    <row r="11" spans="1:11" s="15" customFormat="1" ht="27" customHeight="1">
      <c r="B11" s="20" t="s">
        <v>6</v>
      </c>
      <c r="C11" s="20"/>
      <c r="D11" s="55" t="str">
        <f>Buyers!$AA$2</f>
        <v/>
      </c>
      <c r="E11" s="63"/>
      <c r="G11" s="67" t="s">
        <v>64</v>
      </c>
      <c r="H11" s="55" t="str">
        <f>Buyers!$AB$2</f>
        <v/>
      </c>
      <c r="I11" s="63"/>
      <c r="J11" s="64"/>
      <c r="K11" s="21"/>
    </row>
    <row r="12" spans="1:11" s="15" customFormat="1" ht="27" customHeight="1">
      <c r="B12" s="20" t="s">
        <v>67</v>
      </c>
      <c r="C12" s="20"/>
      <c r="D12" s="131" t="str">
        <f>Buyers!$Z$2</f>
        <v/>
      </c>
      <c r="E12" s="131"/>
      <c r="G12" s="67" t="s">
        <v>65</v>
      </c>
      <c r="H12" s="56" t="str">
        <f>Buyers!$Y$2</f>
        <v/>
      </c>
      <c r="I12" s="57"/>
      <c r="J12" s="58"/>
    </row>
    <row r="13" spans="1:11" s="15" customFormat="1" ht="8.4" customHeight="1">
      <c r="B13" s="23"/>
      <c r="C13" s="24"/>
      <c r="D13" s="25"/>
      <c r="E13" s="25"/>
      <c r="F13" s="26"/>
      <c r="G13" s="24"/>
      <c r="H13" s="24"/>
      <c r="I13" s="24"/>
      <c r="J13" s="27"/>
    </row>
    <row r="14" spans="1:11" s="4" customFormat="1" ht="52.2" customHeight="1">
      <c r="B14" s="28" t="s">
        <v>8</v>
      </c>
      <c r="C14" s="132" t="s">
        <v>9</v>
      </c>
      <c r="D14" s="132"/>
      <c r="E14" s="132"/>
      <c r="F14" s="28" t="s">
        <v>10</v>
      </c>
      <c r="G14" s="28" t="s">
        <v>11</v>
      </c>
      <c r="H14" s="28" t="s">
        <v>12</v>
      </c>
      <c r="I14" s="28" t="s">
        <v>13</v>
      </c>
      <c r="J14" s="29" t="s">
        <v>14</v>
      </c>
    </row>
    <row r="15" spans="1:11" ht="17.399999999999999">
      <c r="A15" s="30"/>
      <c r="B15" s="31">
        <f>IF(ISBLANK(temp_data!S2), "",temp_data!S2)</f>
        <v>1</v>
      </c>
      <c r="C15" s="117" t="str">
        <f>IF(ISBLANK(temp_data!T2), "", temp_data!T2)</f>
        <v>adsadasd</v>
      </c>
      <c r="D15" s="117"/>
      <c r="E15" s="117"/>
      <c r="F15" s="32" t="str">
        <f>IF(ISBLANK(temp_data!U2), "", temp_data!U2)</f>
        <v>sadas</v>
      </c>
      <c r="G15" s="32">
        <f>IF(ISBLANK(temp_data!V2), "", temp_data!V2)</f>
        <v>1</v>
      </c>
      <c r="H15" s="32">
        <f>IF(ISBLANK(temp_data!W2), "", temp_data!W2)</f>
        <v>121</v>
      </c>
      <c r="I15" s="32" t="str">
        <f>IF(ISBLANK(temp_data!X2), "", temp_data!X2)</f>
        <v/>
      </c>
      <c r="J15" s="32">
        <f>IF(ISBLANK(temp_data!Y2), "", temp_data!Y2)</f>
        <v>121</v>
      </c>
      <c r="K15" s="30"/>
    </row>
    <row r="16" spans="1:11" ht="17.399999999999999">
      <c r="B16" s="31" t="str">
        <f>IF(ISBLANK(temp_data!S3), "",temp_data!S3)</f>
        <v/>
      </c>
      <c r="C16" s="117" t="str">
        <f>IF(ISBLANK(temp_data!T3), "", temp_data!T3)</f>
        <v/>
      </c>
      <c r="D16" s="117"/>
      <c r="E16" s="117"/>
      <c r="F16" s="32" t="str">
        <f>IF(ISBLANK(temp_data!U3), "", temp_data!U3)</f>
        <v/>
      </c>
      <c r="G16" s="32" t="str">
        <f>IF(ISBLANK(temp_data!V3), "", temp_data!V3)</f>
        <v/>
      </c>
      <c r="H16" s="32" t="str">
        <f>IF(ISBLANK(temp_data!W3), "", temp_data!W3)</f>
        <v/>
      </c>
      <c r="I16" s="32" t="str">
        <f>IF(ISBLANK(temp_data!X3), "", temp_data!X3)</f>
        <v/>
      </c>
      <c r="J16" s="32" t="str">
        <f>IF(ISBLANK(temp_data!Y3), "", temp_data!Y3)</f>
        <v/>
      </c>
    </row>
    <row r="17" spans="2:10" ht="17.399999999999999">
      <c r="B17" s="31" t="str">
        <f>IF(ISBLANK(temp_data!S4), "",temp_data!S4)</f>
        <v/>
      </c>
      <c r="C17" s="117" t="str">
        <f>IF(ISBLANK(temp_data!T4), "", temp_data!T4)</f>
        <v/>
      </c>
      <c r="D17" s="117"/>
      <c r="E17" s="117"/>
      <c r="F17" s="32" t="str">
        <f>IF(ISBLANK(temp_data!U4), "", temp_data!U4)</f>
        <v/>
      </c>
      <c r="G17" s="32" t="str">
        <f>IF(ISBLANK(temp_data!V4), "", temp_data!V4)</f>
        <v/>
      </c>
      <c r="H17" s="32" t="str">
        <f>IF(ISBLANK(temp_data!W4), "", temp_data!W4)</f>
        <v/>
      </c>
      <c r="I17" s="32" t="str">
        <f>IF(ISBLANK(temp_data!X4), "", temp_data!X4)</f>
        <v/>
      </c>
      <c r="J17" s="32" t="str">
        <f>IF(ISBLANK(temp_data!Y4), "", temp_data!Y4)</f>
        <v/>
      </c>
    </row>
    <row r="18" spans="2:10" ht="17.399999999999999">
      <c r="B18" s="31" t="str">
        <f>IF(ISBLANK(temp_data!S5), "",temp_data!S5)</f>
        <v/>
      </c>
      <c r="C18" s="117" t="str">
        <f>IF(ISBLANK(temp_data!T5), "", temp_data!T5)</f>
        <v/>
      </c>
      <c r="D18" s="117"/>
      <c r="E18" s="117"/>
      <c r="F18" s="32" t="str">
        <f>IF(ISBLANK(temp_data!U5), "", temp_data!U5)</f>
        <v/>
      </c>
      <c r="G18" s="32" t="str">
        <f>IF(ISBLANK(temp_data!V5), "", temp_data!V5)</f>
        <v/>
      </c>
      <c r="H18" s="32" t="str">
        <f>IF(ISBLANK(temp_data!W5), "", temp_data!W5)</f>
        <v/>
      </c>
      <c r="I18" s="32" t="str">
        <f>IF(ISBLANK(temp_data!X5), "", temp_data!X5)</f>
        <v/>
      </c>
      <c r="J18" s="32" t="str">
        <f>IF(ISBLANK(temp_data!Y5), "", temp_data!Y5)</f>
        <v/>
      </c>
    </row>
    <row r="19" spans="2:10" ht="17.399999999999999">
      <c r="B19" s="31" t="str">
        <f>IF(ISBLANK(temp_data!S6), "",temp_data!S6)</f>
        <v/>
      </c>
      <c r="C19" s="117" t="str">
        <f>IF(ISBLANK(temp_data!T6), "", temp_data!T6)</f>
        <v/>
      </c>
      <c r="D19" s="117"/>
      <c r="E19" s="117"/>
      <c r="F19" s="32" t="str">
        <f>IF(ISBLANK(temp_data!U6), "", temp_data!U6)</f>
        <v/>
      </c>
      <c r="G19" s="32" t="str">
        <f>IF(ISBLANK(temp_data!V6), "", temp_data!V6)</f>
        <v/>
      </c>
      <c r="H19" s="32" t="str">
        <f>IF(ISBLANK(temp_data!W6), "", temp_data!W6)</f>
        <v/>
      </c>
      <c r="I19" s="32" t="str">
        <f>IF(ISBLANK(temp_data!X6), "", temp_data!X6)</f>
        <v/>
      </c>
      <c r="J19" s="32" t="str">
        <f>IF(ISBLANK(temp_data!Y6), "", temp_data!Y6)</f>
        <v/>
      </c>
    </row>
    <row r="20" spans="2:10" ht="17.399999999999999">
      <c r="B20" s="31" t="str">
        <f>IF(ISBLANK(temp_data!S7), "",temp_data!S7)</f>
        <v/>
      </c>
      <c r="C20" s="117" t="str">
        <f>IF(ISBLANK(temp_data!T7), "", temp_data!T7)</f>
        <v/>
      </c>
      <c r="D20" s="117"/>
      <c r="E20" s="117"/>
      <c r="F20" s="32" t="str">
        <f>IF(ISBLANK(temp_data!U7), "", temp_data!U7)</f>
        <v/>
      </c>
      <c r="G20" s="32" t="str">
        <f>IF(ISBLANK(temp_data!V7), "", temp_data!V7)</f>
        <v/>
      </c>
      <c r="H20" s="32" t="str">
        <f>IF(ISBLANK(temp_data!W7), "", temp_data!W7)</f>
        <v/>
      </c>
      <c r="I20" s="32" t="str">
        <f>IF(ISBLANK(temp_data!X7), "", temp_data!X7)</f>
        <v/>
      </c>
      <c r="J20" s="32" t="str">
        <f>IF(ISBLANK(temp_data!Y7), "", temp_data!Y7)</f>
        <v/>
      </c>
    </row>
    <row r="21" spans="2:10" ht="17.399999999999999">
      <c r="B21" s="31" t="str">
        <f>IF(ISBLANK(temp_data!S8), "",temp_data!S8)</f>
        <v/>
      </c>
      <c r="C21" s="117" t="str">
        <f>IF(ISBLANK(temp_data!T8), "", temp_data!T8)</f>
        <v/>
      </c>
      <c r="D21" s="117"/>
      <c r="E21" s="117"/>
      <c r="F21" s="32" t="str">
        <f>IF(ISBLANK(temp_data!U8), "", temp_data!U8)</f>
        <v/>
      </c>
      <c r="G21" s="32" t="str">
        <f>IF(ISBLANK(temp_data!V8), "", temp_data!V8)</f>
        <v/>
      </c>
      <c r="H21" s="32" t="str">
        <f>IF(ISBLANK(temp_data!W8), "", temp_data!W8)</f>
        <v/>
      </c>
      <c r="I21" s="32" t="str">
        <f>IF(ISBLANK(temp_data!X8), "", temp_data!X8)</f>
        <v/>
      </c>
      <c r="J21" s="32" t="str">
        <f>IF(ISBLANK(temp_data!Y8), "", temp_data!Y8)</f>
        <v/>
      </c>
    </row>
    <row r="22" spans="2:10" ht="17.399999999999999">
      <c r="B22" s="31" t="str">
        <f>IF(ISBLANK(temp_data!S9), "",temp_data!S9)</f>
        <v/>
      </c>
      <c r="C22" s="117" t="str">
        <f>IF(ISBLANK(temp_data!T9), "", temp_data!T9)</f>
        <v/>
      </c>
      <c r="D22" s="117"/>
      <c r="E22" s="117"/>
      <c r="F22" s="32" t="str">
        <f>IF(ISBLANK(temp_data!U9), "", temp_data!U9)</f>
        <v/>
      </c>
      <c r="G22" s="32" t="str">
        <f>IF(ISBLANK(temp_data!V9), "", temp_data!V9)</f>
        <v/>
      </c>
      <c r="H22" s="32" t="str">
        <f>IF(ISBLANK(temp_data!W9), "", temp_data!W9)</f>
        <v/>
      </c>
      <c r="I22" s="32" t="str">
        <f>IF(ISBLANK(temp_data!X9), "", temp_data!X9)</f>
        <v/>
      </c>
      <c r="J22" s="32" t="str">
        <f>IF(ISBLANK(temp_data!Y9), "", temp_data!Y9)</f>
        <v/>
      </c>
    </row>
    <row r="23" spans="2:10" ht="17.399999999999999">
      <c r="B23" s="31" t="str">
        <f>IF(ISBLANK(temp_data!S10), "",temp_data!S10)</f>
        <v/>
      </c>
      <c r="C23" s="117" t="str">
        <f>IF(ISBLANK(temp_data!T10), "", temp_data!T10)</f>
        <v/>
      </c>
      <c r="D23" s="117"/>
      <c r="E23" s="117"/>
      <c r="F23" s="32" t="str">
        <f>IF(ISBLANK(temp_data!U10), "", temp_data!U10)</f>
        <v/>
      </c>
      <c r="G23" s="32" t="str">
        <f>IF(ISBLANK(temp_data!V10), "", temp_data!V10)</f>
        <v/>
      </c>
      <c r="H23" s="32" t="str">
        <f>IF(ISBLANK(temp_data!W10), "", temp_data!W10)</f>
        <v/>
      </c>
      <c r="I23" s="32" t="str">
        <f>IF(ISBLANK(temp_data!X10), "", temp_data!X10)</f>
        <v/>
      </c>
      <c r="J23" s="32" t="str">
        <f>IF(ISBLANK(temp_data!Y10), "", temp_data!Y10)</f>
        <v/>
      </c>
    </row>
    <row r="24" spans="2:10" ht="17.399999999999999">
      <c r="B24" s="31" t="str">
        <f>IF(ISBLANK(temp_data!S11), "",temp_data!S11)</f>
        <v/>
      </c>
      <c r="C24" s="117" t="str">
        <f>IF(ISBLANK(temp_data!T11), "", temp_data!T11)</f>
        <v/>
      </c>
      <c r="D24" s="117"/>
      <c r="E24" s="117"/>
      <c r="F24" s="32" t="str">
        <f>IF(ISBLANK(temp_data!U11), "", temp_data!U11)</f>
        <v/>
      </c>
      <c r="G24" s="32" t="str">
        <f>IF(ISBLANK(temp_data!V11), "", temp_data!V11)</f>
        <v/>
      </c>
      <c r="H24" s="32" t="str">
        <f>IF(ISBLANK(temp_data!W11), "", temp_data!W11)</f>
        <v/>
      </c>
      <c r="I24" s="32" t="str">
        <f>IF(ISBLANK(temp_data!X11), "", temp_data!X11)</f>
        <v/>
      </c>
      <c r="J24" s="32" t="str">
        <f>IF(ISBLANK(temp_data!Y11), "", temp_data!Y11)</f>
        <v/>
      </c>
    </row>
    <row r="25" spans="2:10" ht="17.399999999999999">
      <c r="B25" s="31" t="str">
        <f>IF(ISBLANK(temp_data!S12), "",temp_data!S12)</f>
        <v/>
      </c>
      <c r="C25" s="117" t="str">
        <f>IF(ISBLANK(temp_data!T12), "", temp_data!T12)</f>
        <v/>
      </c>
      <c r="D25" s="117"/>
      <c r="E25" s="117"/>
      <c r="F25" s="32" t="str">
        <f>IF(ISBLANK(temp_data!U12), "", temp_data!U12)</f>
        <v/>
      </c>
      <c r="G25" s="32" t="str">
        <f>IF(ISBLANK(temp_data!V12), "", temp_data!V12)</f>
        <v/>
      </c>
      <c r="H25" s="32" t="str">
        <f>IF(ISBLANK(temp_data!W12), "", temp_data!W12)</f>
        <v/>
      </c>
      <c r="I25" s="32" t="str">
        <f>IF(ISBLANK(temp_data!X12), "", temp_data!X12)</f>
        <v/>
      </c>
      <c r="J25" s="32" t="str">
        <f>IF(ISBLANK(temp_data!Y12), "", temp_data!Y12)</f>
        <v/>
      </c>
    </row>
    <row r="26" spans="2:10" ht="17.399999999999999">
      <c r="B26" s="31" t="str">
        <f>IF(ISBLANK(temp_data!S13), "",temp_data!S13)</f>
        <v/>
      </c>
      <c r="C26" s="117" t="str">
        <f>IF(ISBLANK(temp_data!T13), "", temp_data!T13)</f>
        <v/>
      </c>
      <c r="D26" s="117"/>
      <c r="E26" s="117"/>
      <c r="F26" s="32" t="str">
        <f>IF(ISBLANK(temp_data!U13), "", temp_data!U13)</f>
        <v/>
      </c>
      <c r="G26" s="32" t="str">
        <f>IF(ISBLANK(temp_data!V13), "", temp_data!V13)</f>
        <v/>
      </c>
      <c r="H26" s="32" t="str">
        <f>IF(ISBLANK(temp_data!W13), "", temp_data!W13)</f>
        <v/>
      </c>
      <c r="I26" s="32" t="str">
        <f>IF(ISBLANK(temp_data!X13), "", temp_data!X13)</f>
        <v/>
      </c>
      <c r="J26" s="32" t="str">
        <f>IF(ISBLANK(temp_data!Y13), "", temp_data!Y13)</f>
        <v/>
      </c>
    </row>
    <row r="27" spans="2:10" s="15" customFormat="1" ht="25.8" customHeight="1">
      <c r="B27" s="86"/>
      <c r="C27" s="84"/>
      <c r="D27" s="84"/>
      <c r="E27" s="85"/>
      <c r="F27" s="80" t="s">
        <v>15</v>
      </c>
      <c r="G27" s="33"/>
      <c r="H27" s="34"/>
      <c r="I27" s="35"/>
      <c r="J27" s="36">
        <f>temp_data!$AA$2</f>
        <v>121</v>
      </c>
    </row>
    <row r="28" spans="2:10" ht="25.8" customHeight="1">
      <c r="B28" s="120" t="s">
        <v>57</v>
      </c>
      <c r="C28" s="121"/>
      <c r="D28" s="121"/>
      <c r="E28" s="122"/>
      <c r="F28" s="62" t="s">
        <v>55</v>
      </c>
      <c r="H28" s="114">
        <f>temp_data!$AH$2</f>
        <v>0</v>
      </c>
      <c r="I28" s="37"/>
      <c r="J28" s="38">
        <f>temp_data!$AB$2</f>
        <v>0</v>
      </c>
    </row>
    <row r="29" spans="2:10" ht="25.8" customHeight="1">
      <c r="B29" s="120"/>
      <c r="C29" s="121"/>
      <c r="D29" s="121"/>
      <c r="E29" s="122"/>
      <c r="F29" s="61" t="s">
        <v>33</v>
      </c>
      <c r="H29" s="114">
        <f>temp_data!$AI$2</f>
        <v>0</v>
      </c>
      <c r="I29" s="37"/>
      <c r="J29" s="39">
        <f>temp_data!AC2</f>
        <v>0</v>
      </c>
    </row>
    <row r="30" spans="2:10" ht="25.8" customHeight="1">
      <c r="B30" s="120"/>
      <c r="C30" s="121"/>
      <c r="D30" s="121"/>
      <c r="E30" s="122"/>
      <c r="F30" s="61" t="s">
        <v>34</v>
      </c>
      <c r="H30" s="114">
        <f>temp_data!$AJ$2</f>
        <v>0</v>
      </c>
      <c r="I30" s="37"/>
      <c r="J30" s="39">
        <f>temp_data!AD2</f>
        <v>0</v>
      </c>
    </row>
    <row r="31" spans="2:10" ht="25.8" customHeight="1">
      <c r="B31" s="120"/>
      <c r="C31" s="121"/>
      <c r="D31" s="121"/>
      <c r="E31" s="122"/>
      <c r="F31" s="61" t="s">
        <v>16</v>
      </c>
      <c r="H31" s="40"/>
      <c r="I31" s="40"/>
      <c r="J31" s="115" t="str">
        <f>temp_data!$AE$2</f>
        <v>0.00</v>
      </c>
    </row>
    <row r="32" spans="2:10" ht="25.8" customHeight="1">
      <c r="B32" s="81"/>
      <c r="C32" s="82"/>
      <c r="D32" s="82"/>
      <c r="E32" s="83"/>
      <c r="F32" s="76" t="s">
        <v>17</v>
      </c>
      <c r="G32" s="76"/>
      <c r="H32" s="76"/>
      <c r="I32" s="75"/>
      <c r="J32" s="74">
        <f>temp_data!$AF$2</f>
        <v>121</v>
      </c>
    </row>
    <row r="33" spans="2:14" ht="24.6" customHeight="1">
      <c r="B33" s="118" t="s">
        <v>18</v>
      </c>
      <c r="C33" s="119"/>
      <c r="D33" s="73"/>
      <c r="E33" s="77"/>
      <c r="F33" s="59"/>
      <c r="G33" s="59"/>
      <c r="H33" s="59"/>
      <c r="I33" s="12"/>
      <c r="J33" s="79" t="str">
        <f>"INR " &amp; temp_data!$AG$2</f>
        <v>INR One Hundred Twenty One</v>
      </c>
    </row>
    <row r="34" spans="2:14" ht="20.399999999999999" customHeight="1">
      <c r="B34" s="87"/>
      <c r="C34" s="78"/>
      <c r="D34" s="88"/>
      <c r="E34" s="78"/>
      <c r="F34" s="89"/>
      <c r="G34" s="89"/>
      <c r="H34" s="89"/>
      <c r="I34" s="89"/>
      <c r="J34" s="90"/>
    </row>
    <row r="35" spans="2:14" s="15" customFormat="1" ht="20.399999999999999" customHeight="1">
      <c r="B35" s="108" t="s">
        <v>20</v>
      </c>
      <c r="C35" s="91"/>
      <c r="D35" s="109"/>
      <c r="E35" s="93"/>
      <c r="F35" s="93"/>
      <c r="G35" s="93"/>
      <c r="H35" s="93"/>
      <c r="I35" s="93"/>
      <c r="J35" s="113" t="str">
        <f>"For "&amp;B3</f>
        <v>For DAS ENTERPRISE</v>
      </c>
    </row>
    <row r="36" spans="2:14" ht="20.399999999999999" customHeight="1">
      <c r="B36" s="110">
        <v>1</v>
      </c>
      <c r="C36" s="111" t="s">
        <v>21</v>
      </c>
      <c r="D36" s="112"/>
      <c r="E36" s="92"/>
      <c r="G36" s="95"/>
      <c r="H36" s="95"/>
      <c r="I36" s="95"/>
      <c r="J36" s="96"/>
    </row>
    <row r="37" spans="2:14" s="43" customFormat="1" ht="20.399999999999999" customHeight="1">
      <c r="B37" s="110">
        <v>2</v>
      </c>
      <c r="C37" s="111" t="s">
        <v>22</v>
      </c>
      <c r="D37" s="91"/>
      <c r="E37" s="94"/>
      <c r="F37" s="97"/>
      <c r="G37" s="98"/>
      <c r="H37" s="97"/>
      <c r="I37" s="97"/>
      <c r="J37" s="99"/>
    </row>
    <row r="38" spans="2:14" s="47" customFormat="1" ht="20.399999999999999" customHeight="1">
      <c r="B38" s="100"/>
      <c r="E38" s="91"/>
      <c r="F38" s="101"/>
      <c r="G38" s="101"/>
      <c r="H38" s="101"/>
      <c r="I38" s="101"/>
      <c r="J38" s="113" t="s">
        <v>23</v>
      </c>
      <c r="K38" s="44"/>
      <c r="L38" s="45"/>
      <c r="M38" s="46"/>
      <c r="N38" s="45"/>
    </row>
    <row r="39" spans="2:14" ht="13.8">
      <c r="B39" s="102" t="str">
        <f t="shared" ref="B39:B42" si="0">+IF(LEN(C39)=0,"","-")</f>
        <v/>
      </c>
      <c r="C39" s="103"/>
      <c r="D39" s="103"/>
      <c r="E39" s="103"/>
      <c r="F39" s="104"/>
      <c r="G39" s="104"/>
      <c r="H39" s="104"/>
      <c r="I39" s="104"/>
      <c r="J39" s="105"/>
    </row>
    <row r="40" spans="2:14" ht="27" customHeight="1">
      <c r="B40" s="107" t="s">
        <v>58</v>
      </c>
      <c r="C40" s="42"/>
      <c r="D40" s="42"/>
      <c r="E40" s="42"/>
      <c r="F40" s="48"/>
      <c r="G40" s="49"/>
      <c r="H40" s="48"/>
      <c r="I40" s="48"/>
      <c r="J40" s="106" t="s">
        <v>19</v>
      </c>
    </row>
    <row r="41" spans="2:14">
      <c r="B41" s="41" t="str">
        <f t="shared" si="0"/>
        <v/>
      </c>
      <c r="C41" s="42"/>
      <c r="D41" s="42"/>
      <c r="E41" s="42"/>
      <c r="F41" s="42"/>
      <c r="G41" s="42"/>
      <c r="H41" s="42"/>
      <c r="I41" s="42"/>
    </row>
    <row r="42" spans="2:14" ht="30">
      <c r="B42" s="123" t="str">
        <f t="shared" si="0"/>
        <v/>
      </c>
      <c r="C42" s="123"/>
      <c r="D42" s="123"/>
      <c r="E42" s="123"/>
      <c r="F42" s="123"/>
      <c r="G42" s="123"/>
      <c r="H42" s="123"/>
      <c r="I42" s="123"/>
      <c r="J42" s="123"/>
    </row>
  </sheetData>
  <mergeCells count="21">
    <mergeCell ref="B42:J42"/>
    <mergeCell ref="C16:E16"/>
    <mergeCell ref="B1:J2"/>
    <mergeCell ref="B4:G6"/>
    <mergeCell ref="D8:J8"/>
    <mergeCell ref="D9:J9"/>
    <mergeCell ref="D12:E12"/>
    <mergeCell ref="C14:E14"/>
    <mergeCell ref="C15:E15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B33:C33"/>
    <mergeCell ref="B28:E31"/>
  </mergeCells>
  <pageMargins left="0.7" right="0.7" top="0.75" bottom="0.75" header="0.3" footer="0.3"/>
  <pageSetup paperSize="9" scale="5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AJ2"/>
  <sheetViews>
    <sheetView workbookViewId="0">
      <selection activeCell="AE2" sqref="AE2"/>
    </sheetView>
  </sheetViews>
  <sheetFormatPr defaultRowHeight="14.4"/>
  <cols>
    <col min="1" max="1" width="10.33203125" bestFit="1" customWidth="1"/>
    <col min="2" max="2" width="14.6640625" bestFit="1" customWidth="1"/>
    <col min="3" max="3" width="93.88671875" customWidth="1"/>
    <col min="4" max="4" width="10" bestFit="1" customWidth="1"/>
    <col min="5" max="5" width="12.44140625" bestFit="1" customWidth="1"/>
    <col min="6" max="6" width="10.6640625" bestFit="1" customWidth="1"/>
    <col min="17" max="17" width="18.33203125" bestFit="1" customWidth="1"/>
    <col min="20" max="20" width="18.33203125" bestFit="1" customWidth="1"/>
    <col min="27" max="27" width="12.109375" bestFit="1" customWidth="1"/>
    <col min="28" max="28" width="10.77734375" bestFit="1" customWidth="1"/>
    <col min="29" max="30" width="8.6640625" customWidth="1"/>
    <col min="31" max="31" width="8.88671875" bestFit="1" customWidth="1"/>
    <col min="32" max="32" width="10.77734375" bestFit="1" customWidth="1"/>
    <col min="33" max="33" width="28.5546875" bestFit="1" customWidth="1"/>
    <col min="34" max="34" width="14.33203125" bestFit="1" customWidth="1"/>
  </cols>
  <sheetData>
    <row r="1" spans="1:36">
      <c r="A1" t="s">
        <v>24</v>
      </c>
      <c r="B1" t="s">
        <v>25</v>
      </c>
      <c r="C1" t="s">
        <v>26</v>
      </c>
      <c r="S1" t="s">
        <v>8</v>
      </c>
      <c r="T1" t="s">
        <v>27</v>
      </c>
      <c r="U1" t="s">
        <v>28</v>
      </c>
      <c r="V1" t="s">
        <v>29</v>
      </c>
      <c r="W1" t="s">
        <v>30</v>
      </c>
      <c r="X1" t="s">
        <v>13</v>
      </c>
      <c r="Y1" t="s">
        <v>31</v>
      </c>
      <c r="AA1" t="s">
        <v>32</v>
      </c>
      <c r="AB1" t="s">
        <v>55</v>
      </c>
      <c r="AC1" t="s">
        <v>33</v>
      </c>
      <c r="AD1" t="s">
        <v>34</v>
      </c>
      <c r="AE1" t="s">
        <v>35</v>
      </c>
      <c r="AF1" t="s">
        <v>36</v>
      </c>
      <c r="AG1" t="s">
        <v>37</v>
      </c>
      <c r="AH1" t="s">
        <v>60</v>
      </c>
      <c r="AI1" t="s">
        <v>61</v>
      </c>
      <c r="AJ1" t="s">
        <v>62</v>
      </c>
    </row>
    <row r="2" spans="1:36">
      <c r="A2" s="50" t="s">
        <v>74</v>
      </c>
      <c r="B2" t="s">
        <v>68</v>
      </c>
      <c r="C2" t="s">
        <v>75</v>
      </c>
      <c r="S2">
        <v>1</v>
      </c>
      <c r="T2" t="s">
        <v>76</v>
      </c>
      <c r="U2" t="s">
        <v>77</v>
      </c>
      <c r="V2">
        <v>1</v>
      </c>
      <c r="W2">
        <v>121</v>
      </c>
      <c r="Y2">
        <v>121</v>
      </c>
      <c r="AA2">
        <v>121</v>
      </c>
      <c r="AB2">
        <v>0</v>
      </c>
      <c r="AC2">
        <v>0</v>
      </c>
      <c r="AD2">
        <v>0</v>
      </c>
      <c r="AE2" s="116" t="s">
        <v>72</v>
      </c>
      <c r="AF2">
        <v>121</v>
      </c>
      <c r="AG2" t="s">
        <v>78</v>
      </c>
      <c r="AH2">
        <v>0</v>
      </c>
      <c r="AI2">
        <v>0</v>
      </c>
      <c r="AJ2">
        <v>0</v>
      </c>
    </row>
  </sheetData>
  <pageMargins left="0.7" right="0.7" top="0.75" bottom="0.75" header="0.3" footer="0.3"/>
  <pageSetup paperSize="9" scale="19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H2"/>
  <sheetViews>
    <sheetView workbookViewId="0"/>
  </sheetViews>
  <sheetFormatPr defaultRowHeight="14.4"/>
  <cols>
    <col min="1" max="1" width="8.88671875" style="52"/>
    <col min="2" max="2" width="14.6640625" style="52" bestFit="1" customWidth="1"/>
    <col min="3" max="3" width="27.109375" style="52" bestFit="1" customWidth="1"/>
    <col min="4" max="4" width="13.44140625" style="52" bestFit="1" customWidth="1"/>
    <col min="5" max="6" width="13.109375" style="52" customWidth="1"/>
    <col min="7" max="7" width="52.6640625" style="52" bestFit="1" customWidth="1"/>
    <col min="8" max="8" width="10.77734375" style="52" customWidth="1"/>
    <col min="9" max="9" width="15.5546875" style="52" bestFit="1" customWidth="1"/>
    <col min="10" max="10" width="11.77734375" style="52" bestFit="1" customWidth="1"/>
    <col min="11" max="12" width="8.88671875" style="52"/>
    <col min="23" max="23" width="6.88671875" style="52" customWidth="1"/>
    <col min="24" max="24" width="14.6640625" style="52" bestFit="1" customWidth="1"/>
    <col min="25" max="25" width="27.109375" style="52" bestFit="1" customWidth="1"/>
    <col min="26" max="26" width="13.44140625" style="52" bestFit="1" customWidth="1"/>
    <col min="27" max="27" width="10" style="52" bestFit="1" customWidth="1"/>
    <col min="28" max="28" width="11.21875" style="52" bestFit="1" customWidth="1"/>
    <col min="29" max="34" width="15.88671875" style="52" customWidth="1"/>
  </cols>
  <sheetData>
    <row r="1" spans="1:34">
      <c r="A1" s="51" t="s">
        <v>38</v>
      </c>
      <c r="B1" s="51" t="s">
        <v>39</v>
      </c>
      <c r="C1" s="51" t="s">
        <v>40</v>
      </c>
      <c r="D1" s="51" t="s">
        <v>41</v>
      </c>
      <c r="E1" s="51" t="s">
        <v>42</v>
      </c>
      <c r="F1" s="51" t="s">
        <v>43</v>
      </c>
      <c r="G1" s="51" t="s">
        <v>53</v>
      </c>
      <c r="H1" s="51" t="s">
        <v>44</v>
      </c>
      <c r="I1" s="51" t="s">
        <v>54</v>
      </c>
      <c r="J1" s="51"/>
      <c r="K1" s="51"/>
      <c r="L1" s="51"/>
      <c r="W1" s="53" t="s">
        <v>38</v>
      </c>
      <c r="X1" s="53" t="s">
        <v>39</v>
      </c>
      <c r="Y1" s="53" t="s">
        <v>40</v>
      </c>
      <c r="Z1" s="53" t="s">
        <v>41</v>
      </c>
      <c r="AA1" s="53" t="s">
        <v>42</v>
      </c>
      <c r="AB1" s="53" t="s">
        <v>43</v>
      </c>
      <c r="AC1" s="53" t="s">
        <v>53</v>
      </c>
      <c r="AD1" s="53" t="s">
        <v>44</v>
      </c>
      <c r="AE1" s="53" t="s">
        <v>54</v>
      </c>
    </row>
    <row r="2" spans="1:34">
      <c r="A2" s="52">
        <v>1</v>
      </c>
      <c r="B2" s="52" t="s">
        <v>68</v>
      </c>
      <c r="C2" s="52" t="s">
        <v>69</v>
      </c>
      <c r="D2" s="52" t="s">
        <v>69</v>
      </c>
      <c r="E2" s="52" t="s">
        <v>69</v>
      </c>
      <c r="F2" s="52" t="s">
        <v>69</v>
      </c>
      <c r="G2" s="52" t="s">
        <v>69</v>
      </c>
      <c r="H2" s="52" t="s">
        <v>69</v>
      </c>
      <c r="I2" s="52" t="s">
        <v>69</v>
      </c>
      <c r="W2" s="52">
        <f>IFERROR(IF(ISBLANK(INDEX(A2:A1048576, MATCH($X$2, $B$2:$B$1048576, 0))), "", INDEX(A2:A1048576, MATCH($X$2, $B$2:$B$1048576, 0))),"")</f>
        <v>1</v>
      </c>
      <c r="X2" s="52" t="s">
        <v>68</v>
      </c>
      <c r="Y2" s="52" t="str">
        <f t="shared" ref="Y2:AH2" si="0">IFERROR(IF(ISBLANK(INDEX(C2:C1048576, MATCH($X$2, $B$2:$B$1048576, 0))), "", INDEX(C2:C1048576, MATCH($X$2, $B$2:$B$1048576, 0))),"")</f>
        <v/>
      </c>
      <c r="Z2" s="52" t="str">
        <f t="shared" si="0"/>
        <v/>
      </c>
      <c r="AA2" s="52" t="str">
        <f t="shared" si="0"/>
        <v/>
      </c>
      <c r="AB2" s="52" t="str">
        <f t="shared" si="0"/>
        <v/>
      </c>
      <c r="AC2" s="52" t="str">
        <f t="shared" si="0"/>
        <v/>
      </c>
      <c r="AD2" s="52" t="str">
        <f t="shared" si="0"/>
        <v/>
      </c>
      <c r="AE2" s="52" t="str">
        <f t="shared" si="0"/>
        <v/>
      </c>
      <c r="AF2" s="52" t="str">
        <f t="shared" si="0"/>
        <v/>
      </c>
      <c r="AG2" s="52" t="str">
        <f t="shared" si="0"/>
        <v/>
      </c>
      <c r="AH2" s="52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3"/>
  <sheetViews>
    <sheetView workbookViewId="0">
      <selection activeCell="E12" sqref="E12"/>
    </sheetView>
  </sheetViews>
  <sheetFormatPr defaultRowHeight="14.4"/>
  <cols>
    <col min="1" max="1" width="8.88671875" style="52"/>
    <col min="2" max="2" width="11.21875" style="52" bestFit="1" customWidth="1"/>
    <col min="3" max="3" width="14.6640625" style="52" bestFit="1" customWidth="1"/>
    <col min="4" max="4" width="13.5546875" style="52" bestFit="1" customWidth="1"/>
    <col min="5" max="5" width="64.109375" style="52" bestFit="1" customWidth="1"/>
  </cols>
  <sheetData>
    <row r="1" spans="1:5">
      <c r="A1" s="60" t="s">
        <v>50</v>
      </c>
      <c r="B1" s="60" t="s">
        <v>24</v>
      </c>
      <c r="C1" s="60" t="s">
        <v>51</v>
      </c>
      <c r="D1" s="60" t="s">
        <v>48</v>
      </c>
      <c r="E1" s="60" t="s">
        <v>52</v>
      </c>
    </row>
    <row r="2" spans="1:5">
      <c r="A2" s="52">
        <v>1</v>
      </c>
      <c r="B2" s="52" t="s">
        <v>70</v>
      </c>
      <c r="C2" s="52" t="s">
        <v>68</v>
      </c>
      <c r="D2" s="52" t="s">
        <v>71</v>
      </c>
      <c r="E2" s="52" t="s">
        <v>73</v>
      </c>
    </row>
    <row r="3" spans="1:5">
      <c r="A3" s="52">
        <v>2</v>
      </c>
      <c r="B3" s="52" t="s">
        <v>74</v>
      </c>
      <c r="C3" s="52" t="s">
        <v>68</v>
      </c>
      <c r="D3" s="52" t="s">
        <v>75</v>
      </c>
      <c r="E3" s="52" t="s">
        <v>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4"/>
  <sheetViews>
    <sheetView workbookViewId="0">
      <selection activeCell="B9" sqref="B9"/>
    </sheetView>
  </sheetViews>
  <sheetFormatPr defaultRowHeight="14.4"/>
  <sheetData>
    <row r="1" spans="1:1">
      <c r="A1" s="53" t="s">
        <v>45</v>
      </c>
    </row>
    <row r="2" spans="1:1">
      <c r="A2" s="52" t="s">
        <v>46</v>
      </c>
    </row>
    <row r="3" spans="1:1">
      <c r="A3" s="52" t="s">
        <v>47</v>
      </c>
    </row>
    <row r="4" spans="1:1">
      <c r="A4" s="52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new_format</vt:lpstr>
      <vt:lpstr>temp_data</vt:lpstr>
      <vt:lpstr>Buyers</vt:lpstr>
      <vt:lpstr>invoices</vt:lpstr>
      <vt:lpstr>Settings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Debanjan Baidya</dc:creator>
  <cp:lastModifiedBy>Debanjan Baidya</cp:lastModifiedBy>
  <cp:lastPrinted>2023-06-26T07:39:41Z</cp:lastPrinted>
  <dcterms:created xsi:type="dcterms:W3CDTF">2023-06-15T10:23:32Z</dcterms:created>
  <dcterms:modified xsi:type="dcterms:W3CDTF">2023-06-26T07:41:20Z</dcterms:modified>
</cp:coreProperties>
</file>